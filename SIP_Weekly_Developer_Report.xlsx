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714ECFA9-5FB6-4A97-8061-C05DD14E4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Report" sheetId="2" r:id="rId1"/>
    <sheet name="Guidanc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8" i="2" s="1"/>
</calcChain>
</file>

<file path=xl/sharedStrings.xml><?xml version="1.0" encoding="utf-8"?>
<sst xmlns="http://schemas.openxmlformats.org/spreadsheetml/2006/main" count="197" uniqueCount="134">
  <si>
    <t>WEEKLY REPORT — BACK END / FRONT END / AI ENGINEER / QA</t>
  </si>
  <si>
    <t>Project</t>
  </si>
  <si>
    <t>Social Intelligence Platform</t>
  </si>
  <si>
    <t>Week</t>
  </si>
  <si>
    <t>Sprint 1</t>
  </si>
  <si>
    <t>KPI</t>
  </si>
  <si>
    <t>Value</t>
  </si>
  <si>
    <t>Weekly Highlights</t>
  </si>
  <si>
    <t>Developer</t>
  </si>
  <si>
    <t>Farhan</t>
  </si>
  <si>
    <t>Period</t>
  </si>
  <si>
    <t>01 Aug - 15 Aug 2026</t>
  </si>
  <si>
    <t>Total Tasks</t>
  </si>
  <si>
    <t>• Test Plan &amp; Test Strategy SIP Insight Sprint 1 selesai &amp; menjadi acuan penyusunan test case
• 123 test case disusun (FE 70 · BE 21 · AI 32) &amp; dieksekusi di Staging → 117 Pass · 6 Fail
• Deep bug hunt (audit kode + probe browser, 12 Aug 2026) menemukan 7 bug — 6 masih open (L05, D10, K23, K25, U06, P04)
• Regression test otomatis untuk 7 bug — 1 PASS (K24 sudah diperbaiki), 6 sengaja FAIL sampai bug diperbaiki
• Hasil eksekusi tersinkron ke Excel test case (UI/BE/AI) — status PASS/FAIL, dropdown &amp; legend otomatis</t>
  </si>
  <si>
    <t>Role</t>
  </si>
  <si>
    <t>QA</t>
  </si>
  <si>
    <t>Overall Status</t>
  </si>
  <si>
    <t>On Track</t>
  </si>
  <si>
    <t>Done</t>
  </si>
  <si>
    <t>Main Focus</t>
  </si>
  <si>
    <t>QA SIP Insight — Test Plan, Test Strategy, Test Case, Eksekusi Testing &amp; Bug Hunting (Web UI · API BE · AI Service)</t>
  </si>
  <si>
    <t>Capacity</t>
  </si>
  <si>
    <t>13 days (Mon–Sat)</t>
  </si>
  <si>
    <t>In Progress</t>
  </si>
  <si>
    <t>Notes</t>
  </si>
  <si>
    <t>Deep bug hunt (audit kode + probe browser, 12 Aug 2026) menemukan 7 bug; 6 masih open &amp; di-encode sebagai regression test (intentional fail) sampai diperbaiki. Total 123 test case dieksekusi: 117 Pass · 6 Fail — semua fail adalah bug regression yang belum diperbaiki.</t>
  </si>
  <si>
    <t>Reviewer</t>
  </si>
  <si>
    <t>Pa Anang</t>
  </si>
  <si>
    <t>Blocked</t>
  </si>
  <si>
    <t>Completion %</t>
  </si>
  <si>
    <t>TASK / ACTIVITY DETAIL</t>
  </si>
  <si>
    <t>No</t>
  </si>
  <si>
    <t>Task / Ticket</t>
  </si>
  <si>
    <t>Category</t>
  </si>
  <si>
    <t>Priority</t>
  </si>
  <si>
    <t>Target / Deliverable</t>
  </si>
  <si>
    <t>Status</t>
  </si>
  <si>
    <t>Progress %</t>
  </si>
  <si>
    <t>Actual Result</t>
  </si>
  <si>
    <t>Blocker / Issue</t>
  </si>
  <si>
    <t>Next Action</t>
  </si>
  <si>
    <t>Evidence / Link</t>
  </si>
  <si>
    <t>Menyusun Test Plan &amp; Test Strategy SIP Insight Sprint 1 (PRD-Web-UI-Testing)</t>
  </si>
  <si>
    <t>Test Plan</t>
  </si>
  <si>
    <t>High</t>
  </si>
  <si>
    <t>Dokumen test plan &amp; strategy lengkap: ruang lingkup fitur, pendekatan &amp; prioritas testing, kriteria kelulusan, jadwal eksekusi per platform (FE / BE / AI)</t>
  </si>
  <si>
    <t>Test plan &amp; strategy terbit &amp; disetujui — menjadi acuan penyusunan test case dan implementasi otomasi</t>
  </si>
  <si>
    <t>—</t>
  </si>
  <si>
    <t>test-cases/UI-Test-Cases.xlsx</t>
  </si>
  <si>
    <t>Menyusun Test Case FE (Web UI) — 70 TC</t>
  </si>
  <si>
    <t>Test Case</t>
  </si>
  <si>
    <t>70 TC terstruktur per modul: Smoke 8 · Login 5 · Dashboard 18 · Keyword 25 · Control 3 · User 6 · Profile 5 — lengkap dengan kategori &amp; prioritas</t>
  </si>
  <si>
    <t>70 TC lengkap (kategori Positive/Negative/Empty State/Regression), data-driven dari test-data/, diekspor ke Excel dengan dropdown kategori &amp; status</t>
  </si>
  <si>
    <t>Menyusun Test Case BE (API Backend) — 21 TC</t>
  </si>
  <si>
    <t>21 TC sesuai kontrak Swagger BE: Health 2 · Dashboard 19 — mencakup skenario Positive &amp; Negative (404, validasi)</t>
  </si>
  <si>
    <t>21 TC tervalidasi terhadap 3 endpoint aktif BE per 14 Aug; TC endpoint yang sudah dihapus (Users/Tasks/Files/Provider) ikut dihapus</t>
  </si>
  <si>
    <t>test-cases/BE-Test-Cases.xlsx</t>
  </si>
  <si>
    <t>Menyusun Test Case AI (SIP AI Service) — 32 TC</t>
  </si>
  <si>
    <t>32 TC sesuai spec OpenAPI SIP AI Service: Health 3 · Meta 2 · Analyze Batch 4 · Jobs 3 · Sync 17 · Generate 3 — termasuk skenario 401/404/422</t>
  </si>
  <si>
    <t>32 TC lengkap dengan auth X-Service-Token; taxonomy tidak di-hardcode (label bisa berubah)</t>
  </si>
  <si>
    <t>test-cases/AI-Test-Cases.xlsx</t>
  </si>
  <si>
    <t>Implementasi otomasi Playwright FE (POM, mock API deterministik, data-driven, cross-browser)</t>
  </si>
  <si>
    <t>Automation</t>
  </si>
  <si>
    <t>Framework test FE: 7 project modul (login, dashboard, keyword, control, user, profile, smoke) berjalan via npm run test:fe + report HTML</t>
  </si>
  <si>
    <t>POM di src/pages/, mock API deterministik (random failure aplikasi di-mock), 70 test berjalan di Chromium; siap Firefox/WebKit via env UI_BROWSERS; trace/screenshot/video on failure</t>
  </si>
  <si>
    <t>tests/fe/ · src/pages/ · playwright.fe.config.ts</t>
  </si>
  <si>
    <t>Implementasi otomasi Playwright BE (API Backend)</t>
  </si>
  <si>
    <t>Test API BE berjalan via npm run test:be dengan report HTML &amp; hasil JSON</t>
  </si>
  <si>
    <t>21 test API berjalan (health/live, health/ready, dashboard/summary) — fixtures APIRequestContext + data-driven keyword</t>
  </si>
  <si>
    <t>tests/be/ · playwright.be.config.ts · test-results/results-be.json</t>
  </si>
  <si>
    <t>Implementasi otomasi Playwright AI (SIP AI Service)</t>
  </si>
  <si>
    <t>Test SIP AI Service berjalan via npm run test:ai dengan report HTML &amp; hasil JSON</t>
  </si>
  <si>
    <t>32 test AI berjalan (health, meta, analyze batch/jobs/sync, generate) — auth X-Service-Token + polling job analysis</t>
  </si>
  <si>
    <t>tests/ai/ · playwright.ai.config.ts · test-results/results-ai.json</t>
  </si>
  <si>
    <t>Eksekusi testing FE (Web UI) di Staging</t>
  </si>
  <si>
    <t>Testing</t>
  </si>
  <si>
    <t>70 test dieksekusi — verifikasi semua fitur aktif: login, dashboard (KPI &amp; chart), keyword, control protocol, user management, profile, smoke &amp; responsif</t>
  </si>
  <si>
    <t>64 Pass · 6 Fail (15 Aug 2026) — 6 fail adalah regression bug yang belum diperbaiki (intentional fail)</t>
  </si>
  <si>
    <t>playwright-report-fe/ · test-results/results.json</t>
  </si>
  <si>
    <t>Eksekusi testing BE (API Backend)</t>
  </si>
  <si>
    <t>21 test API dieksekusi: health (live/ready) 2 TC · dashboard summary 19 TC (data-driven keyword)</t>
  </si>
  <si>
    <t>21 Pass · 0 Fail (14 Aug 2026) — health/live, health/ready &amp; /v1/dashboard/summary terverifikasi sesuai kontrak Swagger</t>
  </si>
  <si>
    <t>playwright-report-be/ · test-results/results-be.json</t>
  </si>
  <si>
    <t>Eksekusi testing AI (SIP AI Service)</t>
  </si>
  <si>
    <t>32 test AI dieksekusi: health, meta, analyze (batch/jobs/sync) &amp; generate</t>
  </si>
  <si>
    <t>32 Pass · 0 Fail (15 Aug 2026)</t>
  </si>
  <si>
    <t>playwright-report-ai/ · test-results/results-ai.json</t>
  </si>
  <si>
    <t>Deep bug hunt &amp; dokumentasi bug (audit kode + probe browser)</t>
  </si>
  <si>
    <t>Bug Fix</t>
  </si>
  <si>
    <t>Identifikasi bug tersembunyi di fitur yang tampak berjalan (audit kode aplikasi + probe manual di browser)</t>
  </si>
  <si>
    <t>7 bug ditemukan &amp; didokumentasikan (12 Aug 2026): L05 login tidak redirect · D10 export report no-op · K23 add keyword NO-OP · K24 tanggal terbalik diterima · K25 move to scheduled toast-only · U06 delete Super Admin tanpa guard · P04 change password tanpa verifikasi current password</t>
  </si>
  <si>
    <t>Follow-up fix ke tim developer</t>
  </si>
  <si>
    <t>tests/fe/*/regression-bugs.spec.ts</t>
  </si>
  <si>
    <t>Regression test bug hasil deep bug hunt (7 bug)</t>
  </si>
  <si>
    <t>Regression</t>
  </si>
  <si>
    <t>Test meng-encode perilaku yang BENAR — FAIL selama bug ada, PASS setelah fix (guard terhadap regresi)</t>
  </si>
  <si>
    <t>Regression test dibuat &amp; dieksekusi untuk 7 bug: 1 PASS (K24 — sudah diperbaiki) · 6 FAIL (bug masih ada)</t>
  </si>
  <si>
    <t>Belum beres: 6 bug masih open (L05, D10, K23, K25, U06, P04) — menunggu fix dari tim developer</t>
  </si>
  <si>
    <t>Regression retest setelah fix dari tim developer</t>
  </si>
  <si>
    <t>Ekspor test case ke Excel &amp; sinkronisasi hasil eksekusi (npm run test-cases)</t>
  </si>
  <si>
    <t>Documentation</t>
  </si>
  <si>
    <t>Medium</t>
  </si>
  <si>
    <t>Kolom eksekusi (Status, Actual Result, Tanggal, Environment, Executed By) terisi otomatis dari report tiap platform</t>
  </si>
  <si>
    <t>UI/BE/AI-Test-Cases.xlsx ter-update dengan hasil run terakhir (FE 15 Aug · BE 14 Aug · AI 15 Aug) — lengkap dropdown, legend &amp; frozen header</t>
  </si>
  <si>
    <t>test-cases/UI-Test-Cases.xlsx · BE-Test-Cases.xlsx · AI-Test-Cases.xlsx</t>
  </si>
  <si>
    <t>ACHIEVEMENT / LEARNING</t>
  </si>
  <si>
    <t>PLAN NEXT WEEK</t>
  </si>
  <si>
    <t>1. Menyusun test plan &amp; strategy Sprint 1 yang langsung diterjemahkan ke test case &amp; otomasi
2. Membangun framework otomasi Playwright multi-platform (FE: POM + mock API deterministik + data-driven + cross-browser; BE: API; AI: SIP AI Service) dengan report HTML &amp; export test case Excel otomatis
3. Deep bug hunt (audit kode + probe browser) menemukan 7 bug tersembunyi di fitur yang tampak jalan — termasuk bug sisi server (change password tidak verifikasi current password) yang tidak terlihat dari UI
4. Pola regression "expected-fail": test meng-encode perilaku yang benar → otomatis FAIL selama bug ada &amp; PASS setelah fix, jadi guard terhadap regresi
5. Data-driven testing: menambah data di test-data/ (JSON) tanpa mengubah kode test</t>
  </si>
  <si>
    <t>1. Follow-up &amp; verifikasi perbaikan 6 bug open (L05 · D10 · K23 · K25 · U06 · P04) → regression retest sampai PASS
2. Perluasan coverage test &amp; cross-browser Firefox/WebKit
3. Review laporan mingguan dengan Lead/PM</t>
  </si>
  <si>
    <t>PANDUAN PENGISIAN WEEKLY REPORT</t>
  </si>
  <si>
    <t>Field</t>
  </si>
  <si>
    <t>Panduan</t>
  </si>
  <si>
    <t>Contoh Category</t>
  </si>
  <si>
    <t>Contoh Deliverable</t>
  </si>
  <si>
    <t>Nama task, issue, story, bug, research, atau aktivitas utama.</t>
  </si>
  <si>
    <t>Back End</t>
  </si>
  <si>
    <t>API / Worker / Database / Integration</t>
  </si>
  <si>
    <t>Endpoint selesai, test pass, migration siap</t>
  </si>
  <si>
    <t>Contoh: Feature, Bug Fix, Research, Testing, Documentation, Refactor.</t>
  </si>
  <si>
    <t>Front End</t>
  </si>
  <si>
    <t>UI / Integration / State / UX</t>
  </si>
  <si>
    <t>Screen selesai dan terintegrasi API</t>
  </si>
  <si>
    <t>Critical / High / Medium / Low.</t>
  </si>
  <si>
    <t>AI Engineer</t>
  </si>
  <si>
    <t>Research / Model / Pipeline / Evaluation</t>
  </si>
  <si>
    <t>Model/pipeline + metric evaluasi</t>
  </si>
  <si>
    <t>Outcome konkret yang ditargetkan minggu tersebut.</t>
  </si>
  <si>
    <t>Test Plan / Functional / Regression / Automation</t>
  </si>
  <si>
    <t>Test evidence + defect report</t>
  </si>
  <si>
    <t>Not Started / In Progress / Review / Done / Blocked.</t>
  </si>
  <si>
    <t>Persentase progress task.</t>
  </si>
  <si>
    <t>Hasil aktual yang sudah dicapai.</t>
  </si>
  <si>
    <t>Hambatan, dependency, atau risiko.</t>
  </si>
  <si>
    <t>https://teamsip.atlassian.net/browse/SIP-15?atlOrigin=eyJpIjoiZWYxM2M2MTdiYTI3NDc3MmFkODQ5ZWU3MjY0MzJkY2UiLCJwIjoiaiJ9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</si>
</sst>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404040"/>
      <name val="Calibri"/>
    </font>
    <font>
      <b/>
      <sz val="10"/>
      <color rgb="FF17365D"/>
      <name val="Calibri"/>
    </font>
    <font>
      <b/>
      <sz val="10"/>
      <color rgb="FF375623"/>
      <name val="Calibri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5" fillId="6" borderId="0" xfId="0" applyFont="1" applyFill="1"/>
    <xf numFmtId="0" fontId="2" fillId="0" borderId="0" xfId="0" applyFont="1" applyAlignment="1">
      <alignment vertical="top" wrapText="1"/>
    </xf>
    <xf numFmtId="9" fontId="2" fillId="0" borderId="0" xfId="0" applyNumberFormat="1" applyFont="1"/>
    <xf numFmtId="0" fontId="1" fillId="4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9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ip.atlassian.net/browse/SIP-15?atlOrigin=eyJpIjoiZWYxM2M2MTdiYTI3NDc3MmFkODQ5ZWU3MjY0MzJkY2U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C8" zoomScaleNormal="100" workbookViewId="0">
      <selection activeCell="L13" sqref="L13"/>
    </sheetView>
  </sheetViews>
  <sheetFormatPr defaultRowHeight="13.8" customHeight="1"/>
  <cols>
    <col min="1" max="1" width="6" customWidth="1"/>
    <col min="2" max="2" width="26" customWidth="1"/>
    <col min="3" max="3" width="18" customWidth="1"/>
    <col min="4" max="4" width="12" customWidth="1"/>
    <col min="5" max="5" width="26" customWidth="1"/>
    <col min="6" max="6" width="15" customWidth="1"/>
    <col min="7" max="7" width="12" customWidth="1"/>
    <col min="8" max="8" width="28" customWidth="1"/>
    <col min="9" max="11" width="25" customWidth="1"/>
  </cols>
  <sheetData>
    <row r="1" spans="1:11" ht="24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4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4" customHeight="1">
      <c r="A3" s="2" t="s">
        <v>1</v>
      </c>
      <c r="B3" s="3" t="s">
        <v>2</v>
      </c>
      <c r="C3" s="2" t="s">
        <v>3</v>
      </c>
      <c r="D3" s="3" t="s">
        <v>4</v>
      </c>
      <c r="E3" s="1"/>
      <c r="F3" s="4" t="s">
        <v>5</v>
      </c>
      <c r="G3" s="4" t="s">
        <v>6</v>
      </c>
      <c r="H3" s="1"/>
      <c r="I3" s="13" t="s">
        <v>7</v>
      </c>
      <c r="J3" s="13"/>
      <c r="K3" s="13"/>
    </row>
    <row r="4" spans="1:11" ht="27.6" customHeight="1">
      <c r="A4" s="2" t="s">
        <v>8</v>
      </c>
      <c r="B4" s="3" t="s">
        <v>9</v>
      </c>
      <c r="C4" s="2" t="s">
        <v>10</v>
      </c>
      <c r="D4" s="3" t="s">
        <v>11</v>
      </c>
      <c r="E4" s="1"/>
      <c r="F4" s="5" t="s">
        <v>12</v>
      </c>
      <c r="G4" s="1">
        <f>COUNTA(F13:F32)</f>
        <v>13</v>
      </c>
      <c r="H4" s="1"/>
      <c r="I4" s="14" t="s">
        <v>13</v>
      </c>
      <c r="J4" s="14"/>
      <c r="K4" s="14"/>
    </row>
    <row r="5" spans="1:11" ht="14.4" customHeight="1">
      <c r="A5" s="2" t="s">
        <v>14</v>
      </c>
      <c r="B5" s="3" t="s">
        <v>15</v>
      </c>
      <c r="C5" s="2" t="s">
        <v>16</v>
      </c>
      <c r="D5" s="3" t="s">
        <v>17</v>
      </c>
      <c r="E5" s="1"/>
      <c r="F5" s="5" t="s">
        <v>18</v>
      </c>
      <c r="G5" s="1">
        <f>COUNTIF(F13:F32,"Done")</f>
        <v>12</v>
      </c>
      <c r="H5" s="1"/>
      <c r="I5" s="14"/>
      <c r="J5" s="14"/>
      <c r="K5" s="14"/>
    </row>
    <row r="6" spans="1:11" ht="27.6" customHeight="1">
      <c r="A6" s="2" t="s">
        <v>19</v>
      </c>
      <c r="B6" s="3" t="s">
        <v>20</v>
      </c>
      <c r="C6" s="2" t="s">
        <v>21</v>
      </c>
      <c r="D6" s="3" t="s">
        <v>22</v>
      </c>
      <c r="E6" s="1"/>
      <c r="F6" s="5" t="s">
        <v>23</v>
      </c>
      <c r="G6" s="1">
        <f>COUNTIF(F13:F32,"In Progress")</f>
        <v>1</v>
      </c>
      <c r="H6" s="1"/>
      <c r="I6" s="14"/>
      <c r="J6" s="14"/>
      <c r="K6" s="14"/>
    </row>
    <row r="7" spans="1:11" ht="14.4" customHeight="1">
      <c r="A7" s="2" t="s">
        <v>24</v>
      </c>
      <c r="B7" s="3" t="s">
        <v>25</v>
      </c>
      <c r="C7" s="2" t="s">
        <v>26</v>
      </c>
      <c r="D7" s="3" t="s">
        <v>27</v>
      </c>
      <c r="E7" s="1"/>
      <c r="F7" s="5" t="s">
        <v>28</v>
      </c>
      <c r="G7" s="1">
        <f>COUNTIF(F13:F32,"Blocked")</f>
        <v>0</v>
      </c>
      <c r="H7" s="1"/>
      <c r="I7" s="14"/>
      <c r="J7" s="14"/>
      <c r="K7" s="14"/>
    </row>
    <row r="8" spans="1:11" ht="14.4" customHeight="1">
      <c r="A8" s="1"/>
      <c r="B8" s="1"/>
      <c r="C8" s="1"/>
      <c r="D8" s="1"/>
      <c r="E8" s="1"/>
      <c r="F8" s="5" t="s">
        <v>29</v>
      </c>
      <c r="G8" s="7">
        <f>IF(G4=0,0,G5/G4)</f>
        <v>0.92307692307692313</v>
      </c>
      <c r="H8" s="1"/>
      <c r="I8" s="14"/>
      <c r="J8" s="14"/>
      <c r="K8" s="14"/>
    </row>
    <row r="9" spans="1:11" ht="14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4">
      <c r="A11" s="13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4.4">
      <c r="A12" s="8" t="s">
        <v>31</v>
      </c>
      <c r="B12" s="8" t="s">
        <v>32</v>
      </c>
      <c r="C12" s="8" t="s">
        <v>33</v>
      </c>
      <c r="D12" s="8" t="s">
        <v>34</v>
      </c>
      <c r="E12" s="8" t="s">
        <v>35</v>
      </c>
      <c r="F12" s="8" t="s">
        <v>36</v>
      </c>
      <c r="G12" s="8" t="s">
        <v>37</v>
      </c>
      <c r="H12" s="8" t="s">
        <v>38</v>
      </c>
      <c r="I12" s="8" t="s">
        <v>39</v>
      </c>
      <c r="J12" s="8" t="s">
        <v>40</v>
      </c>
      <c r="K12" s="8" t="s">
        <v>41</v>
      </c>
    </row>
    <row r="13" spans="1:11" ht="86.4">
      <c r="A13" s="9">
        <v>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18</v>
      </c>
      <c r="G13" s="6">
        <v>100</v>
      </c>
      <c r="H13" s="6" t="s">
        <v>46</v>
      </c>
      <c r="I13" s="6" t="s">
        <v>47</v>
      </c>
      <c r="J13" s="6" t="s">
        <v>47</v>
      </c>
      <c r="K13" s="16" t="s">
        <v>133</v>
      </c>
    </row>
    <row r="14" spans="1:11" ht="82.8">
      <c r="A14" s="9">
        <v>2</v>
      </c>
      <c r="B14" s="6" t="s">
        <v>49</v>
      </c>
      <c r="C14" s="6" t="s">
        <v>50</v>
      </c>
      <c r="D14" s="6" t="s">
        <v>44</v>
      </c>
      <c r="E14" s="6" t="s">
        <v>51</v>
      </c>
      <c r="F14" s="6" t="s">
        <v>18</v>
      </c>
      <c r="G14" s="6">
        <v>100</v>
      </c>
      <c r="H14" s="6" t="s">
        <v>52</v>
      </c>
      <c r="I14" s="6" t="s">
        <v>47</v>
      </c>
      <c r="J14" s="6" t="s">
        <v>47</v>
      </c>
      <c r="K14" s="6" t="s">
        <v>48</v>
      </c>
    </row>
    <row r="15" spans="1:11" ht="69">
      <c r="A15" s="9">
        <v>3</v>
      </c>
      <c r="B15" s="6" t="s">
        <v>53</v>
      </c>
      <c r="C15" s="6" t="s">
        <v>50</v>
      </c>
      <c r="D15" s="6" t="s">
        <v>44</v>
      </c>
      <c r="E15" s="6" t="s">
        <v>54</v>
      </c>
      <c r="F15" s="6" t="s">
        <v>18</v>
      </c>
      <c r="G15" s="6">
        <v>100</v>
      </c>
      <c r="H15" s="6" t="s">
        <v>55</v>
      </c>
      <c r="I15" s="6" t="s">
        <v>47</v>
      </c>
      <c r="J15" s="6" t="s">
        <v>47</v>
      </c>
      <c r="K15" s="6" t="s">
        <v>56</v>
      </c>
    </row>
    <row r="16" spans="1:11" ht="69">
      <c r="A16" s="9">
        <v>4</v>
      </c>
      <c r="B16" s="6" t="s">
        <v>57</v>
      </c>
      <c r="C16" s="6" t="s">
        <v>50</v>
      </c>
      <c r="D16" s="6" t="s">
        <v>44</v>
      </c>
      <c r="E16" s="6" t="s">
        <v>58</v>
      </c>
      <c r="F16" s="6" t="s">
        <v>18</v>
      </c>
      <c r="G16" s="6">
        <v>100</v>
      </c>
      <c r="H16" s="6" t="s">
        <v>59</v>
      </c>
      <c r="I16" s="6" t="s">
        <v>47</v>
      </c>
      <c r="J16" s="6" t="s">
        <v>47</v>
      </c>
      <c r="K16" s="6" t="s">
        <v>60</v>
      </c>
    </row>
    <row r="17" spans="1:11" ht="82.8">
      <c r="A17" s="9">
        <v>5</v>
      </c>
      <c r="B17" s="6" t="s">
        <v>61</v>
      </c>
      <c r="C17" s="6" t="s">
        <v>62</v>
      </c>
      <c r="D17" s="6" t="s">
        <v>44</v>
      </c>
      <c r="E17" s="6" t="s">
        <v>63</v>
      </c>
      <c r="F17" s="6" t="s">
        <v>18</v>
      </c>
      <c r="G17" s="6">
        <v>100</v>
      </c>
      <c r="H17" s="6" t="s">
        <v>64</v>
      </c>
      <c r="I17" s="6" t="s">
        <v>47</v>
      </c>
      <c r="J17" s="6" t="s">
        <v>47</v>
      </c>
      <c r="K17" s="6" t="s">
        <v>65</v>
      </c>
    </row>
    <row r="18" spans="1:11" ht="69">
      <c r="A18" s="9">
        <v>6</v>
      </c>
      <c r="B18" s="6" t="s">
        <v>66</v>
      </c>
      <c r="C18" s="6" t="s">
        <v>62</v>
      </c>
      <c r="D18" s="6" t="s">
        <v>44</v>
      </c>
      <c r="E18" s="6" t="s">
        <v>67</v>
      </c>
      <c r="F18" s="6" t="s">
        <v>18</v>
      </c>
      <c r="G18" s="6">
        <v>100</v>
      </c>
      <c r="H18" s="6" t="s">
        <v>68</v>
      </c>
      <c r="I18" s="6" t="s">
        <v>47</v>
      </c>
      <c r="J18" s="6" t="s">
        <v>47</v>
      </c>
      <c r="K18" s="6" t="s">
        <v>69</v>
      </c>
    </row>
    <row r="19" spans="1:11" ht="55.2">
      <c r="A19" s="9">
        <v>7</v>
      </c>
      <c r="B19" s="6" t="s">
        <v>70</v>
      </c>
      <c r="C19" s="6" t="s">
        <v>62</v>
      </c>
      <c r="D19" s="6" t="s">
        <v>44</v>
      </c>
      <c r="E19" s="6" t="s">
        <v>71</v>
      </c>
      <c r="F19" s="6" t="s">
        <v>18</v>
      </c>
      <c r="G19" s="6">
        <v>100</v>
      </c>
      <c r="H19" s="6" t="s">
        <v>72</v>
      </c>
      <c r="I19" s="6" t="s">
        <v>47</v>
      </c>
      <c r="J19" s="6" t="s">
        <v>47</v>
      </c>
      <c r="K19" s="6" t="s">
        <v>73</v>
      </c>
    </row>
    <row r="20" spans="1:11" ht="82.8">
      <c r="A20" s="9">
        <v>8</v>
      </c>
      <c r="B20" s="6" t="s">
        <v>74</v>
      </c>
      <c r="C20" s="6" t="s">
        <v>75</v>
      </c>
      <c r="D20" s="6" t="s">
        <v>44</v>
      </c>
      <c r="E20" s="6" t="s">
        <v>76</v>
      </c>
      <c r="F20" s="6" t="s">
        <v>18</v>
      </c>
      <c r="G20" s="6">
        <v>100</v>
      </c>
      <c r="H20" s="6" t="s">
        <v>77</v>
      </c>
      <c r="I20" s="6" t="s">
        <v>47</v>
      </c>
      <c r="J20" s="6" t="s">
        <v>47</v>
      </c>
      <c r="K20" s="6" t="s">
        <v>78</v>
      </c>
    </row>
    <row r="21" spans="1:11" ht="69">
      <c r="A21" s="9">
        <v>9</v>
      </c>
      <c r="B21" s="6" t="s">
        <v>79</v>
      </c>
      <c r="C21" s="6" t="s">
        <v>75</v>
      </c>
      <c r="D21" s="6" t="s">
        <v>44</v>
      </c>
      <c r="E21" s="6" t="s">
        <v>80</v>
      </c>
      <c r="F21" s="6" t="s">
        <v>18</v>
      </c>
      <c r="G21" s="6">
        <v>100</v>
      </c>
      <c r="H21" s="6" t="s">
        <v>81</v>
      </c>
      <c r="I21" s="6" t="s">
        <v>47</v>
      </c>
      <c r="J21" s="6" t="s">
        <v>47</v>
      </c>
      <c r="K21" s="6" t="s">
        <v>82</v>
      </c>
    </row>
    <row r="22" spans="1:11" ht="41.4">
      <c r="A22" s="9">
        <v>10</v>
      </c>
      <c r="B22" s="6" t="s">
        <v>83</v>
      </c>
      <c r="C22" s="6" t="s">
        <v>75</v>
      </c>
      <c r="D22" s="6" t="s">
        <v>44</v>
      </c>
      <c r="E22" s="6" t="s">
        <v>84</v>
      </c>
      <c r="F22" s="6" t="s">
        <v>18</v>
      </c>
      <c r="G22" s="6">
        <v>100</v>
      </c>
      <c r="H22" s="6" t="s">
        <v>85</v>
      </c>
      <c r="I22" s="6" t="s">
        <v>47</v>
      </c>
      <c r="J22" s="6" t="s">
        <v>47</v>
      </c>
      <c r="K22" s="6" t="s">
        <v>86</v>
      </c>
    </row>
    <row r="23" spans="1:11" ht="138">
      <c r="A23" s="9">
        <v>11</v>
      </c>
      <c r="B23" s="6" t="s">
        <v>87</v>
      </c>
      <c r="C23" s="6" t="s">
        <v>88</v>
      </c>
      <c r="D23" s="6" t="s">
        <v>44</v>
      </c>
      <c r="E23" s="6" t="s">
        <v>89</v>
      </c>
      <c r="F23" s="6" t="s">
        <v>18</v>
      </c>
      <c r="G23" s="6">
        <v>100</v>
      </c>
      <c r="H23" s="6" t="s">
        <v>90</v>
      </c>
      <c r="I23" s="6" t="s">
        <v>47</v>
      </c>
      <c r="J23" s="6" t="s">
        <v>91</v>
      </c>
      <c r="K23" s="6" t="s">
        <v>92</v>
      </c>
    </row>
    <row r="24" spans="1:11" ht="55.2">
      <c r="A24" s="9">
        <v>12</v>
      </c>
      <c r="B24" s="6" t="s">
        <v>93</v>
      </c>
      <c r="C24" s="6" t="s">
        <v>94</v>
      </c>
      <c r="D24" s="6" t="s">
        <v>44</v>
      </c>
      <c r="E24" s="6" t="s">
        <v>95</v>
      </c>
      <c r="F24" s="6" t="s">
        <v>23</v>
      </c>
      <c r="G24" s="6">
        <v>60</v>
      </c>
      <c r="H24" s="6" t="s">
        <v>96</v>
      </c>
      <c r="I24" s="6" t="s">
        <v>97</v>
      </c>
      <c r="J24" s="6" t="s">
        <v>98</v>
      </c>
      <c r="K24" s="6" t="s">
        <v>92</v>
      </c>
    </row>
    <row r="25" spans="1:11" ht="69">
      <c r="A25" s="9">
        <v>13</v>
      </c>
      <c r="B25" s="6" t="s">
        <v>99</v>
      </c>
      <c r="C25" s="6" t="s">
        <v>100</v>
      </c>
      <c r="D25" s="6" t="s">
        <v>101</v>
      </c>
      <c r="E25" s="6" t="s">
        <v>102</v>
      </c>
      <c r="F25" s="6" t="s">
        <v>18</v>
      </c>
      <c r="G25" s="6">
        <v>100</v>
      </c>
      <c r="H25" s="6" t="s">
        <v>103</v>
      </c>
      <c r="I25" s="6" t="s">
        <v>47</v>
      </c>
      <c r="J25" s="6" t="s">
        <v>47</v>
      </c>
      <c r="K25" s="6" t="s">
        <v>104</v>
      </c>
    </row>
    <row r="26" spans="1:11" ht="14.4">
      <c r="A26" s="9">
        <v>14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4.4">
      <c r="A27" s="9">
        <v>15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14.4">
      <c r="A28" s="9">
        <v>16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4.4">
      <c r="A29" s="9">
        <v>17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4.4">
      <c r="A30" s="9">
        <v>18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4.4">
      <c r="A31" s="9">
        <v>19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4.4">
      <c r="A32" s="9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4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4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4.4" customHeight="1">
      <c r="A35" s="13" t="s">
        <v>105</v>
      </c>
      <c r="B35" s="13"/>
      <c r="C35" s="13"/>
      <c r="D35" s="13"/>
      <c r="E35" s="13"/>
      <c r="F35" s="1"/>
      <c r="G35" s="13" t="s">
        <v>106</v>
      </c>
      <c r="H35" s="13"/>
      <c r="I35" s="13"/>
      <c r="J35" s="13"/>
      <c r="K35" s="13"/>
    </row>
    <row r="36" spans="1:11" ht="14.4" customHeight="1">
      <c r="A36" s="14" t="s">
        <v>107</v>
      </c>
      <c r="B36" s="14"/>
      <c r="C36" s="14"/>
      <c r="D36" s="14"/>
      <c r="E36" s="14"/>
      <c r="F36" s="1"/>
      <c r="G36" s="14" t="s">
        <v>108</v>
      </c>
      <c r="H36" s="14"/>
      <c r="I36" s="14"/>
      <c r="J36" s="14"/>
      <c r="K36" s="14"/>
    </row>
    <row r="37" spans="1:11" ht="14.4" customHeight="1">
      <c r="A37" s="14"/>
      <c r="B37" s="14"/>
      <c r="C37" s="14"/>
      <c r="D37" s="14"/>
      <c r="E37" s="14"/>
      <c r="F37" s="1"/>
      <c r="G37" s="14"/>
      <c r="H37" s="14"/>
      <c r="I37" s="14"/>
      <c r="J37" s="14"/>
      <c r="K37" s="14"/>
    </row>
    <row r="38" spans="1:11" ht="14.4" customHeight="1">
      <c r="A38" s="14"/>
      <c r="B38" s="14"/>
      <c r="C38" s="14"/>
      <c r="D38" s="14"/>
      <c r="E38" s="14"/>
      <c r="F38" s="1"/>
      <c r="G38" s="14"/>
      <c r="H38" s="14"/>
      <c r="I38" s="14"/>
      <c r="J38" s="14"/>
      <c r="K38" s="14"/>
    </row>
    <row r="39" spans="1:11" ht="14.4" customHeight="1">
      <c r="A39" s="14"/>
      <c r="B39" s="14"/>
      <c r="C39" s="14"/>
      <c r="D39" s="14"/>
      <c r="E39" s="14"/>
      <c r="F39" s="1"/>
      <c r="G39" s="14"/>
      <c r="H39" s="14"/>
      <c r="I39" s="14"/>
      <c r="J39" s="14"/>
      <c r="K39" s="14"/>
    </row>
    <row r="40" spans="1:11" ht="14.4" customHeight="1">
      <c r="A40" s="14"/>
      <c r="B40" s="14"/>
      <c r="C40" s="14"/>
      <c r="D40" s="14"/>
      <c r="E40" s="14"/>
      <c r="F40" s="1"/>
      <c r="G40" s="14"/>
      <c r="H40" s="14"/>
      <c r="I40" s="14"/>
      <c r="J40" s="14"/>
      <c r="K40" s="14"/>
    </row>
  </sheetData>
  <mergeCells count="8">
    <mergeCell ref="A36:E40"/>
    <mergeCell ref="G36:K40"/>
    <mergeCell ref="A1:K1"/>
    <mergeCell ref="I3:K3"/>
    <mergeCell ref="I4:K8"/>
    <mergeCell ref="A11:K11"/>
    <mergeCell ref="A35:E35"/>
    <mergeCell ref="G35:K35"/>
  </mergeCells>
  <conditionalFormatting sqref="F13:F32">
    <cfRule type="expression" dxfId="2" priority="2">
      <formula>F13="Blocked"</formula>
    </cfRule>
    <cfRule type="expression" dxfId="1" priority="3">
      <formula>F13="Done"</formula>
    </cfRule>
    <cfRule type="expression" dxfId="0" priority="4">
      <formula>F13="In Progress"</formula>
    </cfRule>
  </conditionalFormatting>
  <conditionalFormatting sqref="G8">
    <cfRule type="dataBar" priority="1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{1ED12E72-2A3D-48C5-B616-4AE8AE4699EB}</x14:id>
        </ext>
      </extLst>
    </cfRule>
  </conditionalFormatting>
  <dataValidations count="4">
    <dataValidation type="list" sqref="D13:D32" xr:uid="{00000000-0002-0000-0000-000000000000}">
      <formula1>"Critical,High,Medium,Low"</formula1>
    </dataValidation>
    <dataValidation type="list" sqref="D5" xr:uid="{00000000-0002-0000-0000-000001000000}">
      <formula1>"On Track,At Risk,Blocked"</formula1>
    </dataValidation>
    <dataValidation type="list" sqref="F13:F32" xr:uid="{00000000-0002-0000-0000-000002000000}">
      <formula1>"Not Started,In Progress,Review,Done,Blocked"</formula1>
    </dataValidation>
    <dataValidation type="list" sqref="G13:G32" xr:uid="{00000000-0002-0000-0000-000003000000}">
      <formula1>"0%,10%,25%,50%,75%,90%,100%"</formula1>
    </dataValidation>
  </dataValidations>
  <hyperlinks>
    <hyperlink ref="K13" r:id="rId1" xr:uid="{74875983-2C2E-41C5-BF20-335BBB1FD315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D12E72-2A3D-48C5-B616-4AE8AE4699EB}">
            <x14:dataBar minLength="0" maxLength="100">
              <x14:cfvo type="min"/>
              <x14:cfvo type="max"/>
              <x14:negativeFillColor auto="1"/>
              <x14:axisColor auto="1"/>
            </x14:dataBar>
          </x14:cfRule>
          <xm:sqref>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activeCell="A11" sqref="A11"/>
    </sheetView>
  </sheetViews>
  <sheetFormatPr defaultRowHeight="13.8" customHeight="1"/>
  <cols>
    <col min="1" max="1" width="24" customWidth="1"/>
    <col min="2" max="2" width="70" customWidth="1"/>
    <col min="4" max="4" width="18" customWidth="1"/>
    <col min="5" max="5" width="34" customWidth="1"/>
    <col min="6" max="6" width="42" customWidth="1"/>
  </cols>
  <sheetData>
    <row r="1" spans="1:6" ht="21" customHeight="1">
      <c r="A1" s="15" t="s">
        <v>109</v>
      </c>
      <c r="B1" s="15"/>
      <c r="C1" s="15"/>
      <c r="D1" s="15"/>
      <c r="E1" s="15"/>
      <c r="F1" s="15"/>
    </row>
    <row r="3" spans="1:6" ht="14.4">
      <c r="A3" s="10" t="s">
        <v>110</v>
      </c>
      <c r="B3" s="10" t="s">
        <v>111</v>
      </c>
      <c r="D3" s="10" t="s">
        <v>14</v>
      </c>
      <c r="E3" s="10" t="s">
        <v>112</v>
      </c>
      <c r="F3" s="10" t="s">
        <v>113</v>
      </c>
    </row>
    <row r="4" spans="1:6" ht="14.4">
      <c r="A4" s="11" t="s">
        <v>32</v>
      </c>
      <c r="B4" s="11" t="s">
        <v>114</v>
      </c>
      <c r="D4" s="11" t="s">
        <v>115</v>
      </c>
      <c r="E4" s="11" t="s">
        <v>116</v>
      </c>
      <c r="F4" s="11" t="s">
        <v>117</v>
      </c>
    </row>
    <row r="5" spans="1:6" ht="14.4">
      <c r="A5" s="11" t="s">
        <v>33</v>
      </c>
      <c r="B5" s="11" t="s">
        <v>118</v>
      </c>
      <c r="D5" s="11" t="s">
        <v>119</v>
      </c>
      <c r="E5" s="11" t="s">
        <v>120</v>
      </c>
      <c r="F5" s="11" t="s">
        <v>121</v>
      </c>
    </row>
    <row r="6" spans="1:6" ht="28.2">
      <c r="A6" s="11" t="s">
        <v>34</v>
      </c>
      <c r="B6" s="11" t="s">
        <v>122</v>
      </c>
      <c r="D6" s="11" t="s">
        <v>123</v>
      </c>
      <c r="E6" s="11" t="s">
        <v>124</v>
      </c>
      <c r="F6" s="11" t="s">
        <v>125</v>
      </c>
    </row>
    <row r="7" spans="1:6" ht="27.6" customHeight="1">
      <c r="A7" s="11" t="s">
        <v>35</v>
      </c>
      <c r="B7" s="11" t="s">
        <v>126</v>
      </c>
      <c r="D7" s="11" t="s">
        <v>15</v>
      </c>
      <c r="E7" s="11" t="s">
        <v>127</v>
      </c>
      <c r="F7" s="11" t="s">
        <v>128</v>
      </c>
    </row>
    <row r="8" spans="1:6" ht="14.4">
      <c r="A8" s="11" t="s">
        <v>36</v>
      </c>
      <c r="B8" s="11" t="s">
        <v>129</v>
      </c>
    </row>
    <row r="9" spans="1:6" ht="14.4">
      <c r="A9" s="11" t="s">
        <v>37</v>
      </c>
      <c r="B9" s="11" t="s">
        <v>130</v>
      </c>
    </row>
    <row r="10" spans="1:6" ht="14.4">
      <c r="A10" s="11" t="s">
        <v>38</v>
      </c>
      <c r="B10" s="11" t="s">
        <v>131</v>
      </c>
    </row>
    <row r="11" spans="1:6" ht="14.4">
      <c r="A11" s="11" t="s">
        <v>39</v>
      </c>
      <c r="B11" s="11" t="s">
        <v>132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Report</vt:lpstr>
      <vt:lpstr>Guidance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2026-08-15T02:46:41Z</dcterms:created>
  <dcterms:modified xsi:type="dcterms:W3CDTF">2026-08-15T04:39:19Z</dcterms:modified>
</cp:coreProperties>
</file>