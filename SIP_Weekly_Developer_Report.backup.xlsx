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ignal House\"/>
    </mc:Choice>
  </mc:AlternateContent>
  <xr:revisionPtr revIDLastSave="0" documentId="13_ncr:1_{AE50F409-05FF-4B1E-AC35-D00E5E12556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Weekly Report" sheetId="2" r:id="rId1"/>
    <sheet name="Guidanc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5" i="2"/>
  <c r="G8" i="2"/>
</calcChain>
</file>

<file path=xl/sharedStrings.xml><?xml version="1.0" encoding="utf-8"?>
<sst xmlns="http://schemas.openxmlformats.org/spreadsheetml/2006/main" count="80" uniqueCount="70">
  <si>
    <t>Project</t>
  </si>
  <si>
    <t>Social Intelligence Platform</t>
  </si>
  <si>
    <t>Week</t>
  </si>
  <si>
    <t>Week [XX]</t>
  </si>
  <si>
    <t>Period</t>
  </si>
  <si>
    <t>Overall Status</t>
  </si>
  <si>
    <t>On Track</t>
  </si>
  <si>
    <t>Role</t>
  </si>
  <si>
    <t>Developer</t>
  </si>
  <si>
    <t>Done</t>
  </si>
  <si>
    <t>In Progress</t>
  </si>
  <si>
    <t>Blocked</t>
  </si>
  <si>
    <t>Completion %</t>
  </si>
  <si>
    <t>Back End</t>
  </si>
  <si>
    <t>Front End</t>
  </si>
  <si>
    <t>AI Engineer</t>
  </si>
  <si>
    <t>QA</t>
  </si>
  <si>
    <t>KPI</t>
  </si>
  <si>
    <t>Value</t>
  </si>
  <si>
    <t>Weekly Highlights</t>
  </si>
  <si>
    <t>[Nama Developer]</t>
  </si>
  <si>
    <t>[DD MMM - DD MMM YYYY]</t>
  </si>
  <si>
    <t>Total Tasks</t>
  </si>
  <si>
    <t>• Achievement utama
• Perubahan penting
• Issue utama
• Hal yang membutuhkan perhatian</t>
  </si>
  <si>
    <t>Main Focus</t>
  </si>
  <si>
    <t>[Fokus utama minggu ini]</t>
  </si>
  <si>
    <t>Capacity</t>
  </si>
  <si>
    <t>[e.g. 5 days]</t>
  </si>
  <si>
    <t>Notes</t>
  </si>
  <si>
    <t>[Catatan singkat]</t>
  </si>
  <si>
    <t>Reviewer</t>
  </si>
  <si>
    <t>[Lead / PM]</t>
  </si>
  <si>
    <t>TASK / ACTIVITY DETAIL</t>
  </si>
  <si>
    <t>No</t>
  </si>
  <si>
    <t>Task / Ticket</t>
  </si>
  <si>
    <t>Category</t>
  </si>
  <si>
    <t>Priority</t>
  </si>
  <si>
    <t>Target / Deliverable</t>
  </si>
  <si>
    <t>Status</t>
  </si>
  <si>
    <t>Progress %</t>
  </si>
  <si>
    <t>Actual Result</t>
  </si>
  <si>
    <t>Blocker / Issue</t>
  </si>
  <si>
    <t>Next Action</t>
  </si>
  <si>
    <t>Evidence / Link</t>
  </si>
  <si>
    <t>ACHIEVEMENT / LEARNING</t>
  </si>
  <si>
    <t>PLAN NEXT WEEK</t>
  </si>
  <si>
    <t>Tuliskan achievement, learning, improvement, atau technical decision minggu ini.</t>
  </si>
  <si>
    <t>1. [Priority utama]
2. [Target berikutnya]
3. [Improvement / follow-up]</t>
  </si>
  <si>
    <t>PANDUAN PENGISIAN WEEKLY REPORT</t>
  </si>
  <si>
    <t>Field</t>
  </si>
  <si>
    <t>Panduan</t>
  </si>
  <si>
    <t>Contoh Category</t>
  </si>
  <si>
    <t>Contoh Deliverable</t>
  </si>
  <si>
    <t>Nama task, issue, story, bug, research, atau aktivitas utama.</t>
  </si>
  <si>
    <t>API / Worker / Database / Integration</t>
  </si>
  <si>
    <t>Endpoint selesai, test pass, migration siap</t>
  </si>
  <si>
    <t>Contoh: Feature, Bug Fix, Research, Testing, Documentation, Refactor.</t>
  </si>
  <si>
    <t>UI / Integration / State / UX</t>
  </si>
  <si>
    <t>Screen selesai dan terintegrasi API</t>
  </si>
  <si>
    <t>Critical / High / Medium / Low.</t>
  </si>
  <si>
    <t>Research / Model / Pipeline / Evaluation</t>
  </si>
  <si>
    <t>Model/pipeline + metric evaluasi</t>
  </si>
  <si>
    <t>Outcome konkret yang ditargetkan minggu tersebut.</t>
  </si>
  <si>
    <t>Test Plan / Functional / Regression / Automation</t>
  </si>
  <si>
    <t>Test evidence + defect report</t>
  </si>
  <si>
    <t>Not Started / In Progress / Review / Done / Blocked.</t>
  </si>
  <si>
    <t>Persentase progress task.</t>
  </si>
  <si>
    <t>Hasil aktual yang sudah dicapai.</t>
  </si>
  <si>
    <t>Hambatan, dependency, atau risiko.</t>
  </si>
  <si>
    <t>WEEKLY REPORT — BACK END / FRONT END / AI ENGINEER /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</si>
</sst>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sz val="10"/>
      <name val="Calibri"/>
    </font>
    <font>
      <b/>
      <sz val="10"/>
      <color rgb="FF404040"/>
      <name val="Calibri"/>
    </font>
    <font>
      <b/>
      <sz val="10"/>
      <color rgb="FF17365D"/>
      <name val="Calibri"/>
    </font>
    <font>
      <b/>
      <sz val="10"/>
      <color rgb="FF37562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7" fillId="6" borderId="0" xfId="0" applyFont="1" applyFill="1"/>
    <xf numFmtId="9" fontId="4" fillId="0" borderId="0" xfId="0" applyNumberFormat="1" applyFont="1"/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workbookViewId="0">
      <selection activeCell="B6" sqref="B6"/>
    </sheetView>
  </sheetViews>
  <sheetFormatPr defaultRowHeight="13.8"/>
  <cols>
    <col min="1" max="1" width="6" customWidth="1"/>
    <col min="2" max="2" width="26" customWidth="1"/>
    <col min="3" max="3" width="18" customWidth="1"/>
    <col min="4" max="4" width="12" customWidth="1"/>
    <col min="5" max="5" width="26" customWidth="1"/>
    <col min="6" max="6" width="15" customWidth="1"/>
    <col min="7" max="7" width="12" customWidth="1"/>
    <col min="8" max="8" width="28" customWidth="1"/>
    <col min="9" max="11" width="25" customWidth="1"/>
  </cols>
  <sheetData>
    <row r="1" spans="1:11" ht="24" customHeight="1">
      <c r="A1" s="25" t="s">
        <v>69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4.4">
      <c r="A3" s="11" t="s">
        <v>0</v>
      </c>
      <c r="B3" s="12" t="s">
        <v>1</v>
      </c>
      <c r="C3" s="11" t="s">
        <v>2</v>
      </c>
      <c r="D3" s="12" t="s">
        <v>3</v>
      </c>
      <c r="E3" s="10"/>
      <c r="F3" s="14" t="s">
        <v>17</v>
      </c>
      <c r="G3" s="14" t="s">
        <v>18</v>
      </c>
      <c r="H3" s="10"/>
      <c r="I3" s="26" t="s">
        <v>19</v>
      </c>
      <c r="J3" s="26"/>
      <c r="K3" s="26"/>
    </row>
    <row r="4" spans="1:11" ht="27.6">
      <c r="A4" s="11" t="s">
        <v>8</v>
      </c>
      <c r="B4" s="12" t="s">
        <v>20</v>
      </c>
      <c r="C4" s="11" t="s">
        <v>4</v>
      </c>
      <c r="D4" s="12" t="s">
        <v>21</v>
      </c>
      <c r="E4" s="10"/>
      <c r="F4" s="15" t="s">
        <v>22</v>
      </c>
      <c r="G4" s="10">
        <v>0</v>
      </c>
      <c r="H4" s="10"/>
      <c r="I4" s="27" t="s">
        <v>23</v>
      </c>
      <c r="J4" s="27"/>
      <c r="K4" s="27"/>
    </row>
    <row r="5" spans="1:11" ht="14.4">
      <c r="A5" s="11" t="s">
        <v>7</v>
      </c>
      <c r="B5" s="12" t="s">
        <v>13</v>
      </c>
      <c r="C5" s="11" t="s">
        <v>5</v>
      </c>
      <c r="D5" s="12" t="s">
        <v>6</v>
      </c>
      <c r="E5" s="10"/>
      <c r="F5" s="15" t="s">
        <v>9</v>
      </c>
      <c r="G5" s="10">
        <f>COUNTIF(F13:F32,"Done")</f>
        <v>0</v>
      </c>
      <c r="H5" s="10"/>
      <c r="I5" s="27"/>
      <c r="J5" s="27"/>
      <c r="K5" s="27"/>
    </row>
    <row r="6" spans="1:11" ht="27.6">
      <c r="A6" s="11" t="s">
        <v>24</v>
      </c>
      <c r="B6" s="12" t="s">
        <v>25</v>
      </c>
      <c r="C6" s="11" t="s">
        <v>26</v>
      </c>
      <c r="D6" s="12" t="s">
        <v>27</v>
      </c>
      <c r="E6" s="10"/>
      <c r="F6" s="15" t="s">
        <v>10</v>
      </c>
      <c r="G6" s="10">
        <f>COUNTIF(F13:F32,"In Progress")</f>
        <v>0</v>
      </c>
      <c r="H6" s="10"/>
      <c r="I6" s="27"/>
      <c r="J6" s="27"/>
      <c r="K6" s="27"/>
    </row>
    <row r="7" spans="1:11" ht="14.4">
      <c r="A7" s="11" t="s">
        <v>28</v>
      </c>
      <c r="B7" s="12" t="s">
        <v>29</v>
      </c>
      <c r="C7" s="11" t="s">
        <v>30</v>
      </c>
      <c r="D7" s="12" t="s">
        <v>31</v>
      </c>
      <c r="E7" s="10"/>
      <c r="F7" s="15" t="s">
        <v>11</v>
      </c>
      <c r="G7" s="10">
        <f>COUNTIF(F13:F32,"Blocked")</f>
        <v>0</v>
      </c>
      <c r="H7" s="10"/>
      <c r="I7" s="27"/>
      <c r="J7" s="27"/>
      <c r="K7" s="27"/>
    </row>
    <row r="8" spans="1:11" ht="14.4">
      <c r="A8" s="10"/>
      <c r="B8" s="10"/>
      <c r="C8" s="10"/>
      <c r="D8" s="10"/>
      <c r="E8" s="10"/>
      <c r="F8" s="15" t="s">
        <v>12</v>
      </c>
      <c r="G8" s="16">
        <f>IF(G4=0,0,G5/G4)</f>
        <v>0</v>
      </c>
      <c r="H8" s="10"/>
      <c r="I8" s="27"/>
      <c r="J8" s="27"/>
      <c r="K8" s="27"/>
    </row>
    <row r="9" spans="1:11" ht="14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14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26" t="s">
        <v>32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1">
      <c r="A12" s="17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8" t="s">
        <v>38</v>
      </c>
      <c r="G12" s="18" t="s">
        <v>39</v>
      </c>
      <c r="H12" s="18" t="s">
        <v>40</v>
      </c>
      <c r="I12" s="18" t="s">
        <v>41</v>
      </c>
      <c r="J12" s="18" t="s">
        <v>42</v>
      </c>
      <c r="K12" s="19" t="s">
        <v>43</v>
      </c>
    </row>
    <row r="13" spans="1:11">
      <c r="A13" s="20">
        <v>1</v>
      </c>
      <c r="B13" s="13"/>
      <c r="C13" s="13"/>
      <c r="D13" s="13"/>
      <c r="E13" s="13"/>
      <c r="F13" s="13"/>
      <c r="G13" s="13"/>
      <c r="H13" s="13"/>
      <c r="I13" s="13"/>
      <c r="J13" s="13"/>
      <c r="K13" s="21"/>
    </row>
    <row r="14" spans="1:11">
      <c r="A14" s="20">
        <v>2</v>
      </c>
      <c r="B14" s="13"/>
      <c r="C14" s="13"/>
      <c r="D14" s="13"/>
      <c r="E14" s="13"/>
      <c r="F14" s="13"/>
      <c r="G14" s="13"/>
      <c r="H14" s="13"/>
      <c r="I14" s="13"/>
      <c r="J14" s="13"/>
      <c r="K14" s="21"/>
    </row>
    <row r="15" spans="1:11">
      <c r="A15" s="20">
        <v>3</v>
      </c>
      <c r="B15" s="13"/>
      <c r="C15" s="13"/>
      <c r="D15" s="13"/>
      <c r="E15" s="13"/>
      <c r="F15" s="13"/>
      <c r="G15" s="13"/>
      <c r="H15" s="13"/>
      <c r="I15" s="13"/>
      <c r="J15" s="13"/>
      <c r="K15" s="21"/>
    </row>
    <row r="16" spans="1:11">
      <c r="A16" s="20">
        <v>4</v>
      </c>
      <c r="B16" s="13"/>
      <c r="C16" s="13"/>
      <c r="D16" s="13"/>
      <c r="E16" s="13"/>
      <c r="F16" s="13"/>
      <c r="G16" s="13"/>
      <c r="H16" s="13"/>
      <c r="I16" s="13"/>
      <c r="J16" s="13"/>
      <c r="K16" s="21"/>
    </row>
    <row r="17" spans="1:11">
      <c r="A17" s="20">
        <v>5</v>
      </c>
      <c r="B17" s="13"/>
      <c r="C17" s="13"/>
      <c r="D17" s="13"/>
      <c r="E17" s="13"/>
      <c r="F17" s="13"/>
      <c r="G17" s="13"/>
      <c r="H17" s="13"/>
      <c r="I17" s="13"/>
      <c r="J17" s="13"/>
      <c r="K17" s="21"/>
    </row>
    <row r="18" spans="1:11">
      <c r="A18" s="20">
        <v>6</v>
      </c>
      <c r="B18" s="13"/>
      <c r="C18" s="13"/>
      <c r="D18" s="13"/>
      <c r="E18" s="13"/>
      <c r="F18" s="13"/>
      <c r="G18" s="13"/>
      <c r="H18" s="13"/>
      <c r="I18" s="13"/>
      <c r="J18" s="13"/>
      <c r="K18" s="21"/>
    </row>
    <row r="19" spans="1:11">
      <c r="A19" s="20">
        <v>7</v>
      </c>
      <c r="B19" s="13"/>
      <c r="C19" s="13"/>
      <c r="D19" s="13"/>
      <c r="E19" s="13"/>
      <c r="F19" s="13"/>
      <c r="G19" s="13"/>
      <c r="H19" s="13"/>
      <c r="I19" s="13"/>
      <c r="J19" s="13"/>
      <c r="K19" s="21"/>
    </row>
    <row r="20" spans="1:11">
      <c r="A20" s="20">
        <v>8</v>
      </c>
      <c r="B20" s="13"/>
      <c r="C20" s="13"/>
      <c r="D20" s="13"/>
      <c r="E20" s="13"/>
      <c r="F20" s="13"/>
      <c r="G20" s="13"/>
      <c r="H20" s="13"/>
      <c r="I20" s="13"/>
      <c r="J20" s="13"/>
      <c r="K20" s="21"/>
    </row>
    <row r="21" spans="1:11">
      <c r="A21" s="20">
        <v>9</v>
      </c>
      <c r="B21" s="13"/>
      <c r="C21" s="13"/>
      <c r="D21" s="13"/>
      <c r="E21" s="13"/>
      <c r="F21" s="13"/>
      <c r="G21" s="13"/>
      <c r="H21" s="13"/>
      <c r="I21" s="13"/>
      <c r="J21" s="13"/>
      <c r="K21" s="21"/>
    </row>
    <row r="22" spans="1:11">
      <c r="A22" s="20">
        <v>10</v>
      </c>
      <c r="B22" s="13"/>
      <c r="C22" s="13"/>
      <c r="D22" s="13"/>
      <c r="E22" s="13"/>
      <c r="F22" s="13"/>
      <c r="G22" s="13"/>
      <c r="H22" s="13"/>
      <c r="I22" s="13"/>
      <c r="J22" s="13"/>
      <c r="K22" s="21"/>
    </row>
    <row r="23" spans="1:11">
      <c r="A23" s="20">
        <v>11</v>
      </c>
      <c r="B23" s="13"/>
      <c r="C23" s="13"/>
      <c r="D23" s="13"/>
      <c r="E23" s="13"/>
      <c r="F23" s="13"/>
      <c r="G23" s="13"/>
      <c r="H23" s="13"/>
      <c r="I23" s="13"/>
      <c r="J23" s="13"/>
      <c r="K23" s="21"/>
    </row>
    <row r="24" spans="1:11">
      <c r="A24" s="20">
        <v>12</v>
      </c>
      <c r="B24" s="13"/>
      <c r="C24" s="13"/>
      <c r="D24" s="13"/>
      <c r="E24" s="13"/>
      <c r="F24" s="13"/>
      <c r="G24" s="13"/>
      <c r="H24" s="13"/>
      <c r="I24" s="13"/>
      <c r="J24" s="13"/>
      <c r="K24" s="21"/>
    </row>
    <row r="25" spans="1:11">
      <c r="A25" s="20">
        <v>13</v>
      </c>
      <c r="B25" s="13"/>
      <c r="C25" s="13"/>
      <c r="D25" s="13"/>
      <c r="E25" s="13"/>
      <c r="F25" s="13"/>
      <c r="G25" s="13"/>
      <c r="H25" s="13"/>
      <c r="I25" s="13"/>
      <c r="J25" s="13"/>
      <c r="K25" s="21"/>
    </row>
    <row r="26" spans="1:11">
      <c r="A26" s="20">
        <v>14</v>
      </c>
      <c r="B26" s="13"/>
      <c r="C26" s="13"/>
      <c r="D26" s="13"/>
      <c r="E26" s="13"/>
      <c r="F26" s="13"/>
      <c r="G26" s="13"/>
      <c r="H26" s="13"/>
      <c r="I26" s="13"/>
      <c r="J26" s="13"/>
      <c r="K26" s="21"/>
    </row>
    <row r="27" spans="1:11">
      <c r="A27" s="20">
        <v>15</v>
      </c>
      <c r="B27" s="13"/>
      <c r="C27" s="13"/>
      <c r="D27" s="13"/>
      <c r="E27" s="13"/>
      <c r="F27" s="13"/>
      <c r="G27" s="13"/>
      <c r="H27" s="13"/>
      <c r="I27" s="13"/>
      <c r="J27" s="13"/>
      <c r="K27" s="21"/>
    </row>
    <row r="28" spans="1:11">
      <c r="A28" s="20">
        <v>16</v>
      </c>
      <c r="B28" s="13"/>
      <c r="C28" s="13"/>
      <c r="D28" s="13"/>
      <c r="E28" s="13"/>
      <c r="F28" s="13"/>
      <c r="G28" s="13"/>
      <c r="H28" s="13"/>
      <c r="I28" s="13"/>
      <c r="J28" s="13"/>
      <c r="K28" s="21"/>
    </row>
    <row r="29" spans="1:11">
      <c r="A29" s="20">
        <v>17</v>
      </c>
      <c r="B29" s="13"/>
      <c r="C29" s="13"/>
      <c r="D29" s="13"/>
      <c r="E29" s="13"/>
      <c r="F29" s="13"/>
      <c r="G29" s="13"/>
      <c r="H29" s="13"/>
      <c r="I29" s="13"/>
      <c r="J29" s="13"/>
      <c r="K29" s="21"/>
    </row>
    <row r="30" spans="1:11">
      <c r="A30" s="20">
        <v>18</v>
      </c>
      <c r="B30" s="13"/>
      <c r="C30" s="13"/>
      <c r="D30" s="13"/>
      <c r="E30" s="13"/>
      <c r="F30" s="13"/>
      <c r="G30" s="13"/>
      <c r="H30" s="13"/>
      <c r="I30" s="13"/>
      <c r="J30" s="13"/>
      <c r="K30" s="21"/>
    </row>
    <row r="31" spans="1:11">
      <c r="A31" s="20">
        <v>19</v>
      </c>
      <c r="B31" s="13"/>
      <c r="C31" s="13"/>
      <c r="D31" s="13"/>
      <c r="E31" s="13"/>
      <c r="F31" s="13"/>
      <c r="G31" s="13"/>
      <c r="H31" s="13"/>
      <c r="I31" s="13"/>
      <c r="J31" s="13"/>
      <c r="K31" s="21"/>
    </row>
    <row r="32" spans="1:11">
      <c r="A32" s="22">
        <v>20</v>
      </c>
      <c r="B32" s="23"/>
      <c r="C32" s="23"/>
      <c r="D32" s="23"/>
      <c r="E32" s="23"/>
      <c r="F32" s="23"/>
      <c r="G32" s="23"/>
      <c r="H32" s="23"/>
      <c r="I32" s="23"/>
      <c r="J32" s="23"/>
      <c r="K32" s="24"/>
    </row>
    <row r="33" spans="1:11" ht="14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4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4.4">
      <c r="A35" s="26" t="s">
        <v>44</v>
      </c>
      <c r="B35" s="26"/>
      <c r="C35" s="26"/>
      <c r="D35" s="26"/>
      <c r="E35" s="26"/>
      <c r="F35" s="10"/>
      <c r="G35" s="26" t="s">
        <v>45</v>
      </c>
      <c r="H35" s="26"/>
      <c r="I35" s="26"/>
      <c r="J35" s="26"/>
      <c r="K35" s="26"/>
    </row>
    <row r="36" spans="1:11" ht="14.4">
      <c r="A36" s="27" t="s">
        <v>46</v>
      </c>
      <c r="B36" s="27"/>
      <c r="C36" s="27"/>
      <c r="D36" s="27"/>
      <c r="E36" s="27"/>
      <c r="F36" s="10"/>
      <c r="G36" s="27" t="s">
        <v>47</v>
      </c>
      <c r="H36" s="27"/>
      <c r="I36" s="27"/>
      <c r="J36" s="27"/>
      <c r="K36" s="27"/>
    </row>
    <row r="37" spans="1:11" ht="14.4">
      <c r="A37" s="27"/>
      <c r="B37" s="27"/>
      <c r="C37" s="27"/>
      <c r="D37" s="27"/>
      <c r="E37" s="27"/>
      <c r="F37" s="10"/>
      <c r="G37" s="27"/>
      <c r="H37" s="27"/>
      <c r="I37" s="27"/>
      <c r="J37" s="27"/>
      <c r="K37" s="27"/>
    </row>
    <row r="38" spans="1:11" ht="14.4">
      <c r="A38" s="27"/>
      <c r="B38" s="27"/>
      <c r="C38" s="27"/>
      <c r="D38" s="27"/>
      <c r="E38" s="27"/>
      <c r="F38" s="10"/>
      <c r="G38" s="27"/>
      <c r="H38" s="27"/>
      <c r="I38" s="27"/>
      <c r="J38" s="27"/>
      <c r="K38" s="27"/>
    </row>
    <row r="39" spans="1:11" ht="14.4">
      <c r="A39" s="27"/>
      <c r="B39" s="27"/>
      <c r="C39" s="27"/>
      <c r="D39" s="27"/>
      <c r="E39" s="27"/>
      <c r="F39" s="10"/>
      <c r="G39" s="27"/>
      <c r="H39" s="27"/>
      <c r="I39" s="27"/>
      <c r="J39" s="27"/>
      <c r="K39" s="27"/>
    </row>
    <row r="40" spans="1:11" ht="14.4">
      <c r="A40" s="27"/>
      <c r="B40" s="27"/>
      <c r="C40" s="27"/>
      <c r="D40" s="27"/>
      <c r="E40" s="27"/>
      <c r="F40" s="10"/>
      <c r="G40" s="27"/>
      <c r="H40" s="27"/>
      <c r="I40" s="27"/>
      <c r="J40" s="27"/>
      <c r="K40" s="27"/>
    </row>
  </sheetData>
  <mergeCells count="8">
    <mergeCell ref="A36:E40"/>
    <mergeCell ref="G35:K35"/>
    <mergeCell ref="G36:K40"/>
    <mergeCell ref="A1:K1"/>
    <mergeCell ref="I3:K3"/>
    <mergeCell ref="I4:K8"/>
    <mergeCell ref="A11:K11"/>
    <mergeCell ref="A35:E35"/>
  </mergeCells>
  <conditionalFormatting sqref="F13:F32">
    <cfRule type="expression" dxfId="2" priority="2">
      <formula>F13="Blocked"</formula>
    </cfRule>
    <cfRule type="expression" dxfId="1" priority="3">
      <formula>F13="Done"</formula>
    </cfRule>
    <cfRule type="expression" dxfId="0" priority="4">
      <formula>F13="In Progress"</formula>
    </cfRule>
  </conditionalFormatting>
  <conditionalFormatting sqref="G8">
    <cfRule type="dataBar" priority="1">
      <dataBar>
        <cfvo type="min"/>
        <cfvo type="max"/>
        <color rgb="FF70AD47"/>
      </dataBar>
    </cfRule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{E2301600-EE22-5165-AF54-D808E982F932}</x14:id>
        </ext>
      </extLst>
    </cfRule>
  </conditionalFormatting>
  <dataValidations count="4">
    <dataValidation type="list" sqref="D5" xr:uid="{00000000-0002-0000-0100-000000000000}">
      <formula1>"On Track,At Risk,Blocked"</formula1>
    </dataValidation>
    <dataValidation type="list" sqref="D13:D32" xr:uid="{00000000-0002-0000-0100-000001000000}">
      <formula1>"Critical,High,Medium,Low"</formula1>
    </dataValidation>
    <dataValidation type="list" sqref="F13:F32" xr:uid="{00000000-0002-0000-0100-000002000000}">
      <formula1>"Not Started,In Progress,Review,Done,Blocked"</formula1>
    </dataValidation>
    <dataValidation type="list" sqref="G13:G32" xr:uid="{00000000-0002-0000-0100-000003000000}">
      <formula1>"0%,10%,25%,50%,75%,90%,100%"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301600-EE22-5165-AF54-D808E982F932}">
            <x14:dataBar>
              <x14:cfvo type="min"/>
              <x14:cfvo type="max"/>
              <x14:negativeFillColor auto="1"/>
              <x14:axisColor auto="1"/>
            </x14:dataBar>
          </x14:cfRule>
          <xm:sqref>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A11" sqref="A11"/>
    </sheetView>
  </sheetViews>
  <sheetFormatPr defaultRowHeight="13.8"/>
  <cols>
    <col min="1" max="1" width="24" customWidth="1"/>
    <col min="2" max="2" width="70" customWidth="1"/>
    <col min="4" max="4" width="18" customWidth="1"/>
    <col min="5" max="5" width="34" customWidth="1"/>
    <col min="6" max="6" width="42" customWidth="1"/>
  </cols>
  <sheetData>
    <row r="1" spans="1:6" ht="21">
      <c r="A1" s="28" t="s">
        <v>48</v>
      </c>
      <c r="B1" s="28"/>
      <c r="C1" s="28"/>
      <c r="D1" s="28"/>
      <c r="E1" s="28"/>
      <c r="F1" s="28"/>
    </row>
    <row r="3" spans="1:6">
      <c r="A3" s="2" t="s">
        <v>49</v>
      </c>
      <c r="B3" s="4" t="s">
        <v>50</v>
      </c>
      <c r="D3" s="2" t="s">
        <v>7</v>
      </c>
      <c r="E3" s="3" t="s">
        <v>51</v>
      </c>
      <c r="F3" s="4" t="s">
        <v>52</v>
      </c>
    </row>
    <row r="4" spans="1:6">
      <c r="A4" s="5" t="s">
        <v>34</v>
      </c>
      <c r="B4" s="6" t="s">
        <v>53</v>
      </c>
      <c r="D4" s="5" t="s">
        <v>13</v>
      </c>
      <c r="E4" s="1" t="s">
        <v>54</v>
      </c>
      <c r="F4" s="6" t="s">
        <v>55</v>
      </c>
    </row>
    <row r="5" spans="1:6">
      <c r="A5" s="5" t="s">
        <v>35</v>
      </c>
      <c r="B5" s="6" t="s">
        <v>56</v>
      </c>
      <c r="D5" s="5" t="s">
        <v>14</v>
      </c>
      <c r="E5" s="1" t="s">
        <v>57</v>
      </c>
      <c r="F5" s="6" t="s">
        <v>58</v>
      </c>
    </row>
    <row r="6" spans="1:6">
      <c r="A6" s="5" t="s">
        <v>36</v>
      </c>
      <c r="B6" s="6" t="s">
        <v>59</v>
      </c>
      <c r="D6" s="5" t="s">
        <v>15</v>
      </c>
      <c r="E6" s="1" t="s">
        <v>60</v>
      </c>
      <c r="F6" s="6" t="s">
        <v>61</v>
      </c>
    </row>
    <row r="7" spans="1:6" ht="27.6">
      <c r="A7" s="5" t="s">
        <v>37</v>
      </c>
      <c r="B7" s="6" t="s">
        <v>62</v>
      </c>
      <c r="D7" s="7" t="s">
        <v>16</v>
      </c>
      <c r="E7" s="8" t="s">
        <v>63</v>
      </c>
      <c r="F7" s="9" t="s">
        <v>64</v>
      </c>
    </row>
    <row r="8" spans="1:6">
      <c r="A8" s="5" t="s">
        <v>38</v>
      </c>
      <c r="B8" s="6" t="s">
        <v>65</v>
      </c>
    </row>
    <row r="9" spans="1:6">
      <c r="A9" s="5" t="s">
        <v>39</v>
      </c>
      <c r="B9" s="6" t="s">
        <v>66</v>
      </c>
    </row>
    <row r="10" spans="1:6">
      <c r="A10" s="5" t="s">
        <v>40</v>
      </c>
      <c r="B10" s="6" t="s">
        <v>67</v>
      </c>
    </row>
    <row r="11" spans="1:6">
      <c r="A11" s="7" t="s">
        <v>41</v>
      </c>
      <c r="B11" s="9" t="s">
        <v>68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Report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Anang Suryana</cp:lastModifiedBy>
  <dcterms:modified xsi:type="dcterms:W3CDTF">2026-08-15T02:25:16Z</dcterms:modified>
</cp:coreProperties>
</file>